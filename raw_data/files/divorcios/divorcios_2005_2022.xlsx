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dicadores 2022_finales\1.2 Indicadores demográficos\1.2.8 Número de divorcios por departamento\"/>
    </mc:Choice>
  </mc:AlternateContent>
  <xr:revisionPtr revIDLastSave="0" documentId="13_ncr:1_{65DA893B-8790-4FA3-B86E-882014EA33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18" i="1"/>
  <c r="B19" i="1"/>
  <c r="B20" i="1"/>
  <c r="B21" i="1"/>
</calcChain>
</file>

<file path=xl/sharedStrings.xml><?xml version="1.0" encoding="utf-8"?>
<sst xmlns="http://schemas.openxmlformats.org/spreadsheetml/2006/main" count="40" uniqueCount="40">
  <si>
    <t>Número de divorcios por departamento de ocurrencia</t>
  </si>
  <si>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</si>
  <si>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</si>
  <si>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</si>
  <si>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</si>
  <si>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</si>
  <si>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</si>
  <si>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</si>
  <si>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</si>
  <si>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</si>
  <si>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</si>
  <si>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</si>
  <si>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</si>
  <si>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</si>
  <si>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</si>
  <si>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</si>
  <si>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</si>
  <si>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</si>
  <si>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</si>
  <si>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</si>
  <si>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</si>
  <si>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</si>
  <si>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</si>
  <si>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</si>
  <si>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</si>
  <si>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Nombre</t>
  </si>
  <si>
    <t>Unidad de medida</t>
  </si>
  <si>
    <t>Fuente de información</t>
  </si>
  <si>
    <t>Metodología de cálculo</t>
  </si>
  <si>
    <t xml:space="preserve">Número de divorcios </t>
  </si>
  <si>
    <t>Por departamento de ocurrencia</t>
  </si>
  <si>
    <t>Descripción</t>
  </si>
  <si>
    <t>Contacto</t>
  </si>
  <si>
    <t>Incluye series estadísticas con los divorcios registrados en la República de Guatemala</t>
  </si>
  <si>
    <t>Número de divorcios registrados</t>
  </si>
  <si>
    <t>Registros administrativos</t>
  </si>
  <si>
    <t>Registro Nacional de las Personas, Instituto Nacional de Estadística</t>
  </si>
  <si>
    <t>esolares@ine.gob.gt</t>
  </si>
  <si>
    <t>cmcabrera@ine.gob.gt</t>
  </si>
  <si>
    <t>mpirir@ine.gob.gt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</si>
</sst>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name val="Arial"/>
      <family val="2"/>
    </font>
    <font>
      <sz val="11"/>
      <color theme="1"/>
      <name val="Garamond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0"/>
      <name val="Arial Narrow"/>
      <family val="2"/>
    </font>
    <font>
      <sz val="11"/>
      <color theme="0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1" applyFont="1" applyAlignment="1">
      <alignment horizontal="center" vertical="center"/>
    </xf>
    <xf numFmtId="3" fontId="6" fillId="0" borderId="0" xfId="2" applyNumberFormat="1" applyFont="1" applyAlignment="1">
      <alignment horizontal="center" vertical="center"/>
    </xf>
    <xf numFmtId="3" fontId="6" fillId="0" borderId="0" xfId="2" applyNumberFormat="1" applyFont="1" applyAlignment="1">
      <alignment horizontal="right" vertical="center" indent="3"/>
    </xf>
    <xf numFmtId="3" fontId="6" fillId="0" borderId="0" xfId="2" applyNumberFormat="1" applyFont="1" applyAlignment="1">
      <alignment horizontal="right" vertical="center" indent="4"/>
    </xf>
    <xf numFmtId="3" fontId="6" fillId="0" borderId="0" xfId="2" applyNumberFormat="1" applyFont="1" applyAlignment="1">
      <alignment horizontal="left" vertical="center" indent="4"/>
    </xf>
    <xf numFmtId="3" fontId="4" fillId="0" borderId="0" xfId="0" applyNumberFormat="1" applyFont="1"/>
    <xf numFmtId="0" fontId="1" fillId="0" borderId="0" xfId="0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0" borderId="0" xfId="0" applyFont="1" applyAlignment="1">
      <alignment wrapText="1"/>
    </xf>
    <xf numFmtId="0" fontId="8" fillId="2" borderId="0" xfId="1" applyFont="1" applyFill="1" applyAlignment="1">
      <alignment horizontal="center" vertical="center"/>
    </xf>
    <xf numFmtId="0" fontId="9" fillId="0" borderId="0" xfId="0" applyFont="1"/>
    <xf numFmtId="0" fontId="7" fillId="0" borderId="0" xfId="3" applyAlignment="1" applyProtection="1">
      <alignment wrapText="1"/>
    </xf>
    <xf numFmtId="0" fontId="7" fillId="0" borderId="0" xfId="3"/>
  </cellXfs>
  <cellStyles count="4">
    <cellStyle name="Hipervínculo" xfId="3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pirir@ine.gob.gt" TargetMode="External"/><Relationship Id="rId2" Type="http://schemas.openxmlformats.org/officeDocument/2006/relationships/hyperlink" Target="mailto:cmcabrera@ine.gob.gt" TargetMode="External"/><Relationship Id="rId1" Type="http://schemas.openxmlformats.org/officeDocument/2006/relationships/hyperlink" Target="mailto:esolares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abSelected="1" workbookViewId="0"/>
  </sheetViews>
  <sheetFormatPr baseColWidth="10" defaultRowHeight="15" x14ac:dyDescent="0.25"/>
  <cols>
    <col min="1" max="24" width="13.42578125" customWidth="1"/>
    <col min="25" max="25" width="11.5703125" bestFit="1" customWidth="1"/>
  </cols>
  <sheetData>
    <row r="1" spans="1:25" ht="16.5" x14ac:dyDescent="0.3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</row>
    <row r="2" spans="1:25" ht="16.5" x14ac:dyDescent="0.3">
      <c r="A2" s="1" t="s">
        <v>30</v>
      </c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</row>
    <row r="3" spans="1:25" s="13" customFormat="1" ht="16.5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15</v>
      </c>
      <c r="P3" s="12" t="s">
        <v>16</v>
      </c>
      <c r="Q3" s="12" t="s">
        <v>17</v>
      </c>
      <c r="R3" s="12" t="s">
        <v>18</v>
      </c>
      <c r="S3" s="12" t="s">
        <v>19</v>
      </c>
      <c r="T3" s="12" t="s">
        <v>20</v>
      </c>
      <c r="U3" s="12" t="s">
        <v>21</v>
      </c>
      <c r="V3" s="12" t="s">
        <v>22</v>
      </c>
      <c r="W3" s="12" t="s">
        <v>23</v>
      </c>
      <c r="X3" s="12" t="s">
        <v>24</v>
      </c>
    </row>
    <row r="4" spans="1:25" s="2" customFormat="1" ht="16.5" x14ac:dyDescent="0.25">
      <c r="A4" s="3">
        <v>2022</v>
      </c>
      <c r="B4" s="4">
        <v>9950</v>
      </c>
      <c r="C4" s="5">
        <v>3295</v>
      </c>
      <c r="D4" s="6">
        <v>179</v>
      </c>
      <c r="E4" s="6">
        <v>174</v>
      </c>
      <c r="F4" s="6">
        <v>210</v>
      </c>
      <c r="G4" s="6">
        <v>497</v>
      </c>
      <c r="H4" s="6">
        <v>316</v>
      </c>
      <c r="I4" s="6">
        <v>137</v>
      </c>
      <c r="J4" s="6">
        <v>201</v>
      </c>
      <c r="K4" s="7">
        <v>794</v>
      </c>
      <c r="L4" s="7">
        <v>485</v>
      </c>
      <c r="M4" s="7">
        <v>331</v>
      </c>
      <c r="N4" s="7">
        <v>565</v>
      </c>
      <c r="O4" s="7">
        <v>450</v>
      </c>
      <c r="P4" s="7">
        <v>314</v>
      </c>
      <c r="Q4" s="6">
        <v>145</v>
      </c>
      <c r="R4" s="6">
        <v>198</v>
      </c>
      <c r="S4" s="6">
        <v>326</v>
      </c>
      <c r="T4" s="6">
        <v>286</v>
      </c>
      <c r="U4" s="6">
        <v>195</v>
      </c>
      <c r="V4" s="6">
        <v>212</v>
      </c>
      <c r="W4" s="6">
        <v>238</v>
      </c>
      <c r="X4" s="6">
        <v>402</v>
      </c>
      <c r="Y4" s="8"/>
    </row>
    <row r="5" spans="1:25" s="2" customFormat="1" ht="16.5" x14ac:dyDescent="0.25">
      <c r="A5" s="3">
        <v>2021</v>
      </c>
      <c r="B5" s="4">
        <v>9621</v>
      </c>
      <c r="C5" s="5">
        <v>3339</v>
      </c>
      <c r="D5" s="6">
        <v>206</v>
      </c>
      <c r="E5" s="6">
        <v>189</v>
      </c>
      <c r="F5" s="6">
        <v>258</v>
      </c>
      <c r="G5" s="6">
        <v>496</v>
      </c>
      <c r="H5" s="6">
        <v>323</v>
      </c>
      <c r="I5" s="6">
        <v>96</v>
      </c>
      <c r="J5" s="6">
        <v>180</v>
      </c>
      <c r="K5" s="7">
        <v>768</v>
      </c>
      <c r="L5" s="7">
        <v>329</v>
      </c>
      <c r="M5" s="7">
        <v>312</v>
      </c>
      <c r="N5" s="7">
        <v>452</v>
      </c>
      <c r="O5" s="7">
        <v>399</v>
      </c>
      <c r="P5" s="7">
        <v>280</v>
      </c>
      <c r="Q5" s="6">
        <v>171</v>
      </c>
      <c r="R5" s="6">
        <v>194</v>
      </c>
      <c r="S5" s="6">
        <v>258</v>
      </c>
      <c r="T5" s="6">
        <v>310</v>
      </c>
      <c r="U5" s="6">
        <v>178</v>
      </c>
      <c r="V5" s="6">
        <v>269</v>
      </c>
      <c r="W5" s="6">
        <v>243</v>
      </c>
      <c r="X5" s="6">
        <v>371</v>
      </c>
      <c r="Y5" s="8"/>
    </row>
    <row r="6" spans="1:25" s="2" customFormat="1" ht="16.5" x14ac:dyDescent="0.25">
      <c r="A6" s="3">
        <v>2020</v>
      </c>
      <c r="B6" s="4">
        <v>4074</v>
      </c>
      <c r="C6" s="5">
        <v>1361</v>
      </c>
      <c r="D6" s="6">
        <v>68</v>
      </c>
      <c r="E6" s="6">
        <v>85</v>
      </c>
      <c r="F6" s="6">
        <v>122</v>
      </c>
      <c r="G6" s="6">
        <v>172</v>
      </c>
      <c r="H6" s="6">
        <v>164</v>
      </c>
      <c r="I6" s="6">
        <v>41</v>
      </c>
      <c r="J6" s="6">
        <v>88</v>
      </c>
      <c r="K6" s="7">
        <v>375</v>
      </c>
      <c r="L6" s="7">
        <v>157</v>
      </c>
      <c r="M6" s="7">
        <v>119</v>
      </c>
      <c r="N6" s="7">
        <v>206</v>
      </c>
      <c r="O6" s="7">
        <v>138</v>
      </c>
      <c r="P6" s="7">
        <v>147</v>
      </c>
      <c r="Q6" s="6">
        <v>50</v>
      </c>
      <c r="R6" s="6">
        <v>102</v>
      </c>
      <c r="S6" s="6">
        <v>106</v>
      </c>
      <c r="T6" s="6">
        <v>134</v>
      </c>
      <c r="U6" s="6">
        <v>91</v>
      </c>
      <c r="V6" s="6">
        <v>103</v>
      </c>
      <c r="W6" s="6">
        <v>91</v>
      </c>
      <c r="X6" s="6">
        <v>154</v>
      </c>
      <c r="Y6" s="8"/>
    </row>
    <row r="7" spans="1:25" s="2" customFormat="1" ht="16.5" x14ac:dyDescent="0.25">
      <c r="A7" s="3">
        <v>2019</v>
      </c>
      <c r="B7" s="4">
        <v>8203</v>
      </c>
      <c r="C7" s="5">
        <v>3491</v>
      </c>
      <c r="D7" s="6">
        <v>146</v>
      </c>
      <c r="E7" s="6">
        <v>168</v>
      </c>
      <c r="F7" s="6">
        <v>172</v>
      </c>
      <c r="G7" s="6">
        <v>389</v>
      </c>
      <c r="H7" s="6">
        <v>208</v>
      </c>
      <c r="I7" s="6">
        <v>110</v>
      </c>
      <c r="J7" s="6">
        <v>157</v>
      </c>
      <c r="K7" s="7">
        <v>655</v>
      </c>
      <c r="L7" s="7">
        <v>244</v>
      </c>
      <c r="M7" s="7">
        <v>197</v>
      </c>
      <c r="N7" s="7">
        <v>315</v>
      </c>
      <c r="O7" s="7">
        <v>250</v>
      </c>
      <c r="P7" s="7">
        <v>205</v>
      </c>
      <c r="Q7" s="6">
        <v>158</v>
      </c>
      <c r="R7" s="6">
        <v>135</v>
      </c>
      <c r="S7" s="6">
        <v>189</v>
      </c>
      <c r="T7" s="6">
        <v>213</v>
      </c>
      <c r="U7" s="6">
        <v>198</v>
      </c>
      <c r="V7" s="6">
        <v>183</v>
      </c>
      <c r="W7" s="6">
        <v>186</v>
      </c>
      <c r="X7" s="6">
        <v>234</v>
      </c>
      <c r="Y7" s="8"/>
    </row>
    <row r="8" spans="1:25" s="2" customFormat="1" ht="16.5" x14ac:dyDescent="0.25">
      <c r="A8" s="3">
        <v>2018</v>
      </c>
      <c r="B8" s="4">
        <v>6255</v>
      </c>
      <c r="C8" s="5">
        <v>2185</v>
      </c>
      <c r="D8" s="6">
        <v>115</v>
      </c>
      <c r="E8" s="6">
        <v>153</v>
      </c>
      <c r="F8" s="6">
        <v>147</v>
      </c>
      <c r="G8" s="6">
        <v>302</v>
      </c>
      <c r="H8" s="6">
        <v>174</v>
      </c>
      <c r="I8" s="6">
        <v>71</v>
      </c>
      <c r="J8" s="6">
        <v>135</v>
      </c>
      <c r="K8" s="7">
        <v>536</v>
      </c>
      <c r="L8" s="7">
        <v>205</v>
      </c>
      <c r="M8" s="7">
        <v>153</v>
      </c>
      <c r="N8" s="7">
        <v>274</v>
      </c>
      <c r="O8" s="7">
        <v>193</v>
      </c>
      <c r="P8" s="7">
        <v>197</v>
      </c>
      <c r="Q8" s="6">
        <v>140</v>
      </c>
      <c r="R8" s="6">
        <v>133</v>
      </c>
      <c r="S8" s="6">
        <v>167</v>
      </c>
      <c r="T8" s="6">
        <v>241</v>
      </c>
      <c r="U8" s="6">
        <v>161</v>
      </c>
      <c r="V8" s="6">
        <v>174</v>
      </c>
      <c r="W8" s="6">
        <v>148</v>
      </c>
      <c r="X8" s="6">
        <v>251</v>
      </c>
      <c r="Y8" s="8"/>
    </row>
    <row r="9" spans="1:25" s="2" customFormat="1" ht="16.5" x14ac:dyDescent="0.25">
      <c r="A9" s="3">
        <v>2017</v>
      </c>
      <c r="B9" s="4">
        <v>5808</v>
      </c>
      <c r="C9" s="5">
        <v>2075</v>
      </c>
      <c r="D9" s="6">
        <v>108</v>
      </c>
      <c r="E9" s="6">
        <v>154</v>
      </c>
      <c r="F9" s="6">
        <v>129</v>
      </c>
      <c r="G9" s="6">
        <v>345</v>
      </c>
      <c r="H9" s="6">
        <v>172</v>
      </c>
      <c r="I9" s="6">
        <v>67</v>
      </c>
      <c r="J9" s="6">
        <v>108</v>
      </c>
      <c r="K9" s="7">
        <v>459</v>
      </c>
      <c r="L9" s="7">
        <v>158</v>
      </c>
      <c r="M9" s="7">
        <v>153</v>
      </c>
      <c r="N9" s="7">
        <v>296</v>
      </c>
      <c r="O9" s="7">
        <v>187</v>
      </c>
      <c r="P9" s="7">
        <v>130</v>
      </c>
      <c r="Q9" s="6">
        <v>117</v>
      </c>
      <c r="R9" s="6">
        <v>112</v>
      </c>
      <c r="S9" s="6">
        <v>154</v>
      </c>
      <c r="T9" s="6">
        <v>244</v>
      </c>
      <c r="U9" s="6">
        <v>165</v>
      </c>
      <c r="V9" s="6">
        <v>164</v>
      </c>
      <c r="W9" s="6">
        <v>131</v>
      </c>
      <c r="X9" s="6">
        <v>180</v>
      </c>
      <c r="Y9" s="8"/>
    </row>
    <row r="10" spans="1:25" s="2" customFormat="1" ht="16.5" x14ac:dyDescent="0.25">
      <c r="A10" s="3">
        <v>2016</v>
      </c>
      <c r="B10" s="4">
        <v>5665</v>
      </c>
      <c r="C10" s="5">
        <v>2142</v>
      </c>
      <c r="D10" s="6">
        <v>95</v>
      </c>
      <c r="E10" s="6">
        <v>133</v>
      </c>
      <c r="F10" s="6">
        <v>106</v>
      </c>
      <c r="G10" s="6">
        <v>297</v>
      </c>
      <c r="H10" s="6">
        <v>179</v>
      </c>
      <c r="I10" s="6">
        <v>63</v>
      </c>
      <c r="J10" s="6">
        <v>86</v>
      </c>
      <c r="K10" s="7">
        <v>405</v>
      </c>
      <c r="L10" s="7">
        <v>188</v>
      </c>
      <c r="M10" s="7">
        <v>187</v>
      </c>
      <c r="N10" s="7">
        <v>233</v>
      </c>
      <c r="O10" s="7">
        <v>176</v>
      </c>
      <c r="P10" s="7">
        <v>166</v>
      </c>
      <c r="Q10" s="6">
        <v>115</v>
      </c>
      <c r="R10" s="6">
        <v>114</v>
      </c>
      <c r="S10" s="6">
        <v>124</v>
      </c>
      <c r="T10" s="6">
        <v>189</v>
      </c>
      <c r="U10" s="6">
        <v>148</v>
      </c>
      <c r="V10" s="6">
        <v>158</v>
      </c>
      <c r="W10" s="6">
        <v>126</v>
      </c>
      <c r="X10" s="6">
        <v>235</v>
      </c>
      <c r="Y10" s="8"/>
    </row>
    <row r="11" spans="1:25" s="2" customFormat="1" ht="16.5" x14ac:dyDescent="0.25">
      <c r="A11" s="3">
        <v>2015</v>
      </c>
      <c r="B11" s="4">
        <v>5726</v>
      </c>
      <c r="C11" s="5">
        <v>2185</v>
      </c>
      <c r="D11" s="6">
        <v>98</v>
      </c>
      <c r="E11" s="6">
        <v>115</v>
      </c>
      <c r="F11" s="6">
        <v>125</v>
      </c>
      <c r="G11" s="6">
        <v>306</v>
      </c>
      <c r="H11" s="6">
        <v>187</v>
      </c>
      <c r="I11" s="6">
        <v>59</v>
      </c>
      <c r="J11" s="6">
        <v>96</v>
      </c>
      <c r="K11" s="7">
        <v>409</v>
      </c>
      <c r="L11" s="7">
        <v>163</v>
      </c>
      <c r="M11" s="7">
        <v>153</v>
      </c>
      <c r="N11" s="7">
        <v>240</v>
      </c>
      <c r="O11" s="7">
        <v>182</v>
      </c>
      <c r="P11" s="7">
        <v>147</v>
      </c>
      <c r="Q11" s="6">
        <v>107</v>
      </c>
      <c r="R11" s="6">
        <v>139</v>
      </c>
      <c r="S11" s="6">
        <v>159</v>
      </c>
      <c r="T11" s="6">
        <v>159</v>
      </c>
      <c r="U11" s="6">
        <v>157</v>
      </c>
      <c r="V11" s="6">
        <v>141</v>
      </c>
      <c r="W11" s="6">
        <v>115</v>
      </c>
      <c r="X11" s="6">
        <v>284</v>
      </c>
      <c r="Y11" s="8"/>
    </row>
    <row r="12" spans="1:25" s="2" customFormat="1" ht="16.5" x14ac:dyDescent="0.25">
      <c r="A12" s="3">
        <v>2014</v>
      </c>
      <c r="B12" s="4">
        <v>5575</v>
      </c>
      <c r="C12" s="5">
        <v>2044</v>
      </c>
      <c r="D12" s="6">
        <v>114</v>
      </c>
      <c r="E12" s="6">
        <v>138</v>
      </c>
      <c r="F12" s="6">
        <v>124</v>
      </c>
      <c r="G12" s="6">
        <v>291</v>
      </c>
      <c r="H12" s="6">
        <v>135</v>
      </c>
      <c r="I12" s="6">
        <v>57</v>
      </c>
      <c r="J12" s="6">
        <v>100</v>
      </c>
      <c r="K12" s="7">
        <v>370</v>
      </c>
      <c r="L12" s="7">
        <v>206</v>
      </c>
      <c r="M12" s="7">
        <v>137</v>
      </c>
      <c r="N12" s="7">
        <v>212</v>
      </c>
      <c r="O12" s="7">
        <v>170</v>
      </c>
      <c r="P12" s="7">
        <v>161</v>
      </c>
      <c r="Q12" s="6">
        <v>121</v>
      </c>
      <c r="R12" s="6">
        <v>140</v>
      </c>
      <c r="S12" s="6">
        <v>125</v>
      </c>
      <c r="T12" s="6">
        <v>163</v>
      </c>
      <c r="U12" s="6">
        <v>147</v>
      </c>
      <c r="V12" s="6">
        <v>162</v>
      </c>
      <c r="W12" s="6">
        <v>114</v>
      </c>
      <c r="X12" s="6">
        <v>344</v>
      </c>
      <c r="Y12" s="8"/>
    </row>
    <row r="13" spans="1:25" s="2" customFormat="1" ht="16.5" x14ac:dyDescent="0.25">
      <c r="A13" s="3">
        <v>2013</v>
      </c>
      <c r="B13" s="4">
        <v>5542</v>
      </c>
      <c r="C13" s="5">
        <v>2261</v>
      </c>
      <c r="D13" s="6">
        <v>86</v>
      </c>
      <c r="E13" s="6">
        <v>122</v>
      </c>
      <c r="F13" s="6">
        <v>82</v>
      </c>
      <c r="G13" s="6">
        <v>210</v>
      </c>
      <c r="H13" s="6">
        <v>95</v>
      </c>
      <c r="I13" s="6">
        <v>52</v>
      </c>
      <c r="J13" s="6">
        <v>79</v>
      </c>
      <c r="K13" s="7">
        <v>344</v>
      </c>
      <c r="L13" s="7">
        <v>242</v>
      </c>
      <c r="M13" s="7">
        <v>178</v>
      </c>
      <c r="N13" s="7">
        <v>122</v>
      </c>
      <c r="O13" s="7">
        <v>176</v>
      </c>
      <c r="P13" s="7">
        <v>151</v>
      </c>
      <c r="Q13" s="6">
        <v>116</v>
      </c>
      <c r="R13" s="6">
        <v>158</v>
      </c>
      <c r="S13" s="6">
        <v>156</v>
      </c>
      <c r="T13" s="6">
        <v>155</v>
      </c>
      <c r="U13" s="6">
        <v>188</v>
      </c>
      <c r="V13" s="6">
        <v>119</v>
      </c>
      <c r="W13" s="6">
        <v>110</v>
      </c>
      <c r="X13" s="6">
        <v>340</v>
      </c>
      <c r="Y13" s="8"/>
    </row>
    <row r="14" spans="1:25" s="2" customFormat="1" ht="16.5" x14ac:dyDescent="0.25">
      <c r="A14" s="3">
        <v>2012</v>
      </c>
      <c r="B14" s="4">
        <v>5157</v>
      </c>
      <c r="C14" s="5">
        <v>2152</v>
      </c>
      <c r="D14" s="6">
        <v>89</v>
      </c>
      <c r="E14" s="6">
        <v>71</v>
      </c>
      <c r="F14" s="6">
        <v>67</v>
      </c>
      <c r="G14" s="6">
        <v>176</v>
      </c>
      <c r="H14" s="6">
        <v>98</v>
      </c>
      <c r="I14" s="6">
        <v>48</v>
      </c>
      <c r="J14" s="6">
        <v>74</v>
      </c>
      <c r="K14" s="7">
        <v>322</v>
      </c>
      <c r="L14" s="7">
        <v>217</v>
      </c>
      <c r="M14" s="7">
        <v>152</v>
      </c>
      <c r="N14" s="7">
        <v>126</v>
      </c>
      <c r="O14" s="7">
        <v>159</v>
      </c>
      <c r="P14" s="7">
        <v>109</v>
      </c>
      <c r="Q14" s="6">
        <v>108</v>
      </c>
      <c r="R14" s="6">
        <v>175</v>
      </c>
      <c r="S14" s="6">
        <v>138</v>
      </c>
      <c r="T14" s="6">
        <v>219</v>
      </c>
      <c r="U14" s="6">
        <v>149</v>
      </c>
      <c r="V14" s="6">
        <v>133</v>
      </c>
      <c r="W14" s="6">
        <v>106</v>
      </c>
      <c r="X14" s="6">
        <v>269</v>
      </c>
      <c r="Y14" s="8"/>
    </row>
    <row r="15" spans="1:25" ht="16.5" x14ac:dyDescent="0.25">
      <c r="A15" s="3">
        <v>2011</v>
      </c>
      <c r="B15" s="4">
        <v>4344</v>
      </c>
      <c r="C15" s="5">
        <v>1798</v>
      </c>
      <c r="D15" s="6">
        <v>82</v>
      </c>
      <c r="E15" s="6">
        <v>72</v>
      </c>
      <c r="F15" s="6">
        <v>57</v>
      </c>
      <c r="G15" s="6">
        <v>179</v>
      </c>
      <c r="H15" s="6">
        <v>106</v>
      </c>
      <c r="I15" s="6">
        <v>46</v>
      </c>
      <c r="J15" s="6">
        <v>64</v>
      </c>
      <c r="K15" s="7">
        <v>293</v>
      </c>
      <c r="L15" s="7">
        <v>175</v>
      </c>
      <c r="M15" s="7">
        <v>123</v>
      </c>
      <c r="N15" s="7">
        <v>114</v>
      </c>
      <c r="O15" s="7">
        <v>126</v>
      </c>
      <c r="P15" s="7">
        <v>107</v>
      </c>
      <c r="Q15" s="6">
        <v>54</v>
      </c>
      <c r="R15" s="6">
        <v>176</v>
      </c>
      <c r="S15" s="6">
        <v>92</v>
      </c>
      <c r="T15" s="6">
        <v>124</v>
      </c>
      <c r="U15" s="6">
        <v>141</v>
      </c>
      <c r="V15" s="6">
        <v>102</v>
      </c>
      <c r="W15" s="6">
        <v>105</v>
      </c>
      <c r="X15" s="6">
        <v>208</v>
      </c>
    </row>
    <row r="16" spans="1:25" ht="16.5" x14ac:dyDescent="0.25">
      <c r="A16" s="3">
        <v>2010</v>
      </c>
      <c r="B16" s="4">
        <v>3645</v>
      </c>
      <c r="C16" s="5">
        <v>1561</v>
      </c>
      <c r="D16" s="6">
        <v>63</v>
      </c>
      <c r="E16" s="6">
        <v>61</v>
      </c>
      <c r="F16" s="6">
        <v>38</v>
      </c>
      <c r="G16" s="6">
        <v>149</v>
      </c>
      <c r="H16" s="6">
        <v>77</v>
      </c>
      <c r="I16" s="6">
        <v>41</v>
      </c>
      <c r="J16" s="6">
        <v>46</v>
      </c>
      <c r="K16" s="7">
        <v>233</v>
      </c>
      <c r="L16" s="7">
        <v>140</v>
      </c>
      <c r="M16" s="7">
        <v>115</v>
      </c>
      <c r="N16" s="7">
        <v>96</v>
      </c>
      <c r="O16" s="7">
        <v>80</v>
      </c>
      <c r="P16" s="7">
        <v>84</v>
      </c>
      <c r="Q16" s="6">
        <v>75</v>
      </c>
      <c r="R16" s="6">
        <v>129</v>
      </c>
      <c r="S16" s="6">
        <v>94</v>
      </c>
      <c r="T16" s="6">
        <v>130</v>
      </c>
      <c r="U16" s="6">
        <v>115</v>
      </c>
      <c r="V16" s="6">
        <v>73</v>
      </c>
      <c r="W16" s="6">
        <v>77</v>
      </c>
      <c r="X16" s="6">
        <v>168</v>
      </c>
    </row>
    <row r="17" spans="1:25" ht="16.5" x14ac:dyDescent="0.25">
      <c r="A17" s="3">
        <v>2009</v>
      </c>
      <c r="B17" s="4">
        <f>SUM(C17:X17)</f>
        <v>3004</v>
      </c>
      <c r="C17" s="5">
        <v>1140</v>
      </c>
      <c r="D17" s="6">
        <v>41</v>
      </c>
      <c r="E17" s="6">
        <v>77</v>
      </c>
      <c r="F17" s="6">
        <v>59</v>
      </c>
      <c r="G17" s="6">
        <v>124</v>
      </c>
      <c r="H17" s="6">
        <v>92</v>
      </c>
      <c r="I17" s="6">
        <v>27</v>
      </c>
      <c r="J17" s="6">
        <v>38</v>
      </c>
      <c r="K17" s="7">
        <v>208</v>
      </c>
      <c r="L17" s="7">
        <v>125</v>
      </c>
      <c r="M17" s="7">
        <v>108</v>
      </c>
      <c r="N17" s="7">
        <v>89</v>
      </c>
      <c r="O17" s="7">
        <v>79</v>
      </c>
      <c r="P17" s="7">
        <v>83</v>
      </c>
      <c r="Q17" s="6">
        <v>59</v>
      </c>
      <c r="R17" s="6">
        <v>132</v>
      </c>
      <c r="S17" s="6">
        <v>49</v>
      </c>
      <c r="T17" s="6">
        <v>82</v>
      </c>
      <c r="U17" s="6">
        <v>100</v>
      </c>
      <c r="V17" s="6">
        <v>79</v>
      </c>
      <c r="W17" s="6">
        <v>85</v>
      </c>
      <c r="X17" s="6">
        <v>128</v>
      </c>
    </row>
    <row r="18" spans="1:25" s="2" customFormat="1" ht="16.5" x14ac:dyDescent="0.25">
      <c r="A18" s="3">
        <v>2008</v>
      </c>
      <c r="B18" s="4">
        <f>SUM(C18:X18)</f>
        <v>2834</v>
      </c>
      <c r="C18" s="5">
        <v>1052</v>
      </c>
      <c r="D18" s="6">
        <v>45</v>
      </c>
      <c r="E18" s="6">
        <v>80</v>
      </c>
      <c r="F18" s="6">
        <v>58</v>
      </c>
      <c r="G18" s="6">
        <v>92</v>
      </c>
      <c r="H18" s="6">
        <v>50</v>
      </c>
      <c r="I18" s="6">
        <v>16</v>
      </c>
      <c r="J18" s="6">
        <v>39</v>
      </c>
      <c r="K18" s="7">
        <v>161</v>
      </c>
      <c r="L18" s="7">
        <v>199</v>
      </c>
      <c r="M18" s="7">
        <v>105</v>
      </c>
      <c r="N18" s="7">
        <v>78</v>
      </c>
      <c r="O18" s="7">
        <v>57</v>
      </c>
      <c r="P18" s="7">
        <v>63</v>
      </c>
      <c r="Q18" s="6">
        <v>69</v>
      </c>
      <c r="R18" s="6">
        <v>106</v>
      </c>
      <c r="S18" s="6">
        <v>48</v>
      </c>
      <c r="T18" s="6">
        <v>117</v>
      </c>
      <c r="U18" s="6">
        <v>109</v>
      </c>
      <c r="V18" s="6">
        <v>97</v>
      </c>
      <c r="W18" s="6">
        <v>74</v>
      </c>
      <c r="X18" s="6">
        <v>119</v>
      </c>
      <c r="Y18" s="8"/>
    </row>
    <row r="19" spans="1:25" ht="16.5" x14ac:dyDescent="0.25">
      <c r="A19" s="3">
        <v>2007</v>
      </c>
      <c r="B19" s="4">
        <f>SUM(C19:X19)</f>
        <v>2128</v>
      </c>
      <c r="C19" s="5">
        <v>1040</v>
      </c>
      <c r="D19" s="6">
        <v>16</v>
      </c>
      <c r="E19" s="6">
        <v>61</v>
      </c>
      <c r="F19" s="6">
        <v>10</v>
      </c>
      <c r="G19" s="6">
        <v>41</v>
      </c>
      <c r="H19" s="6">
        <v>11</v>
      </c>
      <c r="I19" s="6">
        <v>11</v>
      </c>
      <c r="J19" s="6">
        <v>29</v>
      </c>
      <c r="K19" s="7">
        <v>165</v>
      </c>
      <c r="L19" s="7">
        <v>67</v>
      </c>
      <c r="M19" s="7">
        <v>57</v>
      </c>
      <c r="N19" s="7">
        <v>22</v>
      </c>
      <c r="O19" s="7">
        <v>49</v>
      </c>
      <c r="P19" s="7">
        <v>9</v>
      </c>
      <c r="Q19" s="6">
        <v>35</v>
      </c>
      <c r="R19" s="6">
        <v>108</v>
      </c>
      <c r="S19" s="6">
        <v>33</v>
      </c>
      <c r="T19" s="6">
        <v>133</v>
      </c>
      <c r="U19" s="6">
        <v>76</v>
      </c>
      <c r="V19" s="6">
        <v>79</v>
      </c>
      <c r="W19" s="6">
        <v>47</v>
      </c>
      <c r="X19" s="6">
        <v>29</v>
      </c>
    </row>
    <row r="20" spans="1:25" ht="16.5" x14ac:dyDescent="0.25">
      <c r="A20" s="3">
        <v>2006</v>
      </c>
      <c r="B20" s="4">
        <f>SUM(C20:X20)</f>
        <v>1917</v>
      </c>
      <c r="C20" s="5">
        <v>904</v>
      </c>
      <c r="D20" s="6">
        <v>14</v>
      </c>
      <c r="E20" s="6">
        <v>66</v>
      </c>
      <c r="F20" s="6">
        <v>19</v>
      </c>
      <c r="G20" s="6">
        <v>40</v>
      </c>
      <c r="H20" s="6">
        <v>20</v>
      </c>
      <c r="I20" s="6">
        <v>6</v>
      </c>
      <c r="J20" s="6">
        <v>23</v>
      </c>
      <c r="K20" s="7">
        <v>127</v>
      </c>
      <c r="L20" s="7">
        <v>45</v>
      </c>
      <c r="M20" s="7">
        <v>57</v>
      </c>
      <c r="N20" s="7">
        <v>49</v>
      </c>
      <c r="O20" s="7">
        <v>54</v>
      </c>
      <c r="P20" s="7">
        <v>23</v>
      </c>
      <c r="Q20" s="6">
        <v>38</v>
      </c>
      <c r="R20" s="6">
        <v>66</v>
      </c>
      <c r="S20" s="6">
        <v>37</v>
      </c>
      <c r="T20" s="6">
        <v>105</v>
      </c>
      <c r="U20" s="6">
        <v>67</v>
      </c>
      <c r="V20" s="6">
        <v>57</v>
      </c>
      <c r="W20" s="6">
        <v>50</v>
      </c>
      <c r="X20" s="6">
        <v>50</v>
      </c>
    </row>
    <row r="21" spans="1:25" ht="16.5" x14ac:dyDescent="0.25">
      <c r="A21" s="3">
        <v>2005</v>
      </c>
      <c r="B21" s="4">
        <f>SUM(C21:X21)</f>
        <v>2088</v>
      </c>
      <c r="C21" s="5">
        <v>1167</v>
      </c>
      <c r="D21" s="6">
        <v>12</v>
      </c>
      <c r="E21" s="6">
        <v>49</v>
      </c>
      <c r="F21" s="6">
        <v>18</v>
      </c>
      <c r="G21" s="6">
        <v>25</v>
      </c>
      <c r="H21" s="6">
        <v>13</v>
      </c>
      <c r="I21" s="6">
        <v>4</v>
      </c>
      <c r="J21" s="6">
        <v>29</v>
      </c>
      <c r="K21" s="7">
        <v>119</v>
      </c>
      <c r="L21" s="7">
        <v>34</v>
      </c>
      <c r="M21" s="7">
        <v>50</v>
      </c>
      <c r="N21" s="7">
        <v>43</v>
      </c>
      <c r="O21" s="7">
        <v>45</v>
      </c>
      <c r="P21" s="7">
        <v>26</v>
      </c>
      <c r="Q21" s="6">
        <v>29</v>
      </c>
      <c r="R21" s="6">
        <v>76</v>
      </c>
      <c r="S21" s="6">
        <v>24</v>
      </c>
      <c r="T21" s="6">
        <v>94</v>
      </c>
      <c r="U21" s="6">
        <v>64</v>
      </c>
      <c r="V21" s="6">
        <v>44</v>
      </c>
      <c r="W21" s="6">
        <v>59</v>
      </c>
      <c r="X21" s="6">
        <v>64</v>
      </c>
    </row>
  </sheetData>
  <sortState xmlns:xlrd2="http://schemas.microsoft.com/office/spreadsheetml/2017/richdata2" ref="A7:X21">
    <sortCondition descending="1" ref="A7:A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RowHeight="15" x14ac:dyDescent="0.25"/>
  <cols>
    <col min="1" max="1" width="21.7109375" bestFit="1" customWidth="1"/>
    <col min="2" max="2" width="50.7109375" customWidth="1"/>
  </cols>
  <sheetData>
    <row r="1" spans="1:2" ht="16.5" x14ac:dyDescent="0.25">
      <c r="A1" s="9" t="s">
        <v>25</v>
      </c>
      <c r="B1" s="10" t="s">
        <v>0</v>
      </c>
    </row>
    <row r="2" spans="1:2" ht="33" x14ac:dyDescent="0.3">
      <c r="A2" s="9" t="s">
        <v>31</v>
      </c>
      <c r="B2" s="11" t="s">
        <v>33</v>
      </c>
    </row>
    <row r="3" spans="1:2" ht="16.5" x14ac:dyDescent="0.25">
      <c r="A3" s="9" t="s">
        <v>26</v>
      </c>
      <c r="B3" s="10" t="s">
        <v>34</v>
      </c>
    </row>
    <row r="4" spans="1:2" ht="33" x14ac:dyDescent="0.3">
      <c r="A4" s="9" t="s">
        <v>27</v>
      </c>
      <c r="B4" s="11" t="s">
        <v>36</v>
      </c>
    </row>
    <row r="5" spans="1:2" ht="16.5" x14ac:dyDescent="0.3">
      <c r="A5" s="9" t="s">
        <v>28</v>
      </c>
      <c r="B5" s="11" t="s">
        <v>35</v>
      </c>
    </row>
    <row r="6" spans="1:2" ht="16.5" x14ac:dyDescent="0.25">
      <c r="A6" s="9" t="s">
        <v>32</v>
      </c>
      <c r="B6" s="14" t="s">
        <v>37</v>
      </c>
    </row>
    <row r="7" spans="1:2" x14ac:dyDescent="0.25">
      <c r="B7" s="14" t="s">
        <v>38</v>
      </c>
    </row>
    <row r="8" spans="1:2" x14ac:dyDescent="0.25">
      <c r="B8" s="15" t="s">
        <v>39</v>
      </c>
    </row>
  </sheetData>
  <hyperlinks>
    <hyperlink ref="B6" r:id="rId1" xr:uid="{00000000-0004-0000-0100-000000000000}"/>
    <hyperlink ref="B7" r:id="rId2" xr:uid="{00000000-0004-0000-0100-000001000000}"/>
    <hyperlink ref="B8" r:id="rId3" xr:uid="{3B47C5E7-E095-48D7-984A-AB5180F8AF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inecrca</dc:creator>
  <cp:lastModifiedBy>Marlon Humberto Pirir Garcia IEC/SEA/SOC</cp:lastModifiedBy>
  <dcterms:created xsi:type="dcterms:W3CDTF">2014-02-18T14:50:20Z</dcterms:created>
  <dcterms:modified xsi:type="dcterms:W3CDTF">2023-12-07T22:00:54Z</dcterms:modified>
</cp:coreProperties>
</file>